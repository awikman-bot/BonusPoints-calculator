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hje" sheetId="1" r:id="rId5"/>
    <sheet state="visible" name="Malli" sheetId="2" r:id="rId6"/>
    <sheet state="visible" name="Tasot" sheetId="3" r:id="rId7"/>
  </sheets>
  <definedNames/>
  <calcPr/>
</workbook>
</file>

<file path=xl/sharedStrings.xml><?xml version="1.0" encoding="utf-8"?>
<sst xmlns="http://schemas.openxmlformats.org/spreadsheetml/2006/main" count="93" uniqueCount="90">
  <si>
    <t>Seuraavat tasot – vain ansaitsemiskerroin muuttuu</t>
  </si>
  <si>
    <t>Altaalle.com – bonuspisteiden laskentamalli</t>
  </si>
  <si>
    <t>Bonuspisteiden esimerkkimalli – yksi taso</t>
  </si>
  <si>
    <t>Pisteen arvo ja tuotteiden pistehinnat pysyvät samoina kaikilla tasoilla, joten tuotteita ei tarvitse hinnoitella uudelleen.</t>
  </si>
  <si>
    <t>Kolme sääntöä</t>
  </si>
  <si>
    <t>Muuta vain keltaisia sinisellä kirjoitettuja syöttösoluja. Mustat solut lasketaan kaavoilla.</t>
  </si>
  <si>
    <t>Esimerkkituotteen hinta (€)</t>
  </si>
  <si>
    <t>1. Ansaitseminen</t>
  </si>
  <si>
    <t>1. Säännöt (syöttötiedot)</t>
  </si>
  <si>
    <t>Asiakas saa jokaisesta käytetystä eurosta kertoimen verran pisteitä (esimerkissä 1 € = 3 p).</t>
  </si>
  <si>
    <t>2. Pisteen arvo</t>
  </si>
  <si>
    <t>100 pistettä vastaa yhtä euroa. Pisteen arvo = 1 € ÷ 100 = 0,01 €.</t>
  </si>
  <si>
    <t>3. Pistehinta</t>
  </si>
  <si>
    <t>Tuotteen pistehinta = euromääräinen hinta × 100. Näin asiakas saa takaisin 3 % ostojensa arvosta.</t>
  </si>
  <si>
    <t>Miten Vilkas laskee</t>
  </si>
  <si>
    <t>Ansaitut pisteet</t>
  </si>
  <si>
    <t>Lasketaan aina euroista: ostos × bonuspistekerroin (× tason kerroin tai kampanjakerroin).</t>
  </si>
  <si>
    <t>Asetus</t>
  </si>
  <si>
    <t>Pistehinta</t>
  </si>
  <si>
    <t>Esimerkkituotteen pistehinta</t>
  </si>
  <si>
    <t>Syötetään tuotekohtaisesti välilehdelle Bonuspistehinta ("Voi ostaa pisteillä"). Järjestelmä ei johda sitä euroista automaattisesti.</t>
  </si>
  <si>
    <t>Arvo</t>
  </si>
  <si>
    <t>CSV-kaava</t>
  </si>
  <si>
    <t>bonushinta = PYÖRISTÄ(OVH × 100; 0)</t>
  </si>
  <si>
    <t>Selite</t>
  </si>
  <si>
    <t>Välilehdet</t>
  </si>
  <si>
    <t>Malli</t>
  </si>
  <si>
    <t>Yhden tason esimerkki: säännöt, ansaitseminen, pistehinnat ja esimerkkiasiakas.</t>
  </si>
  <si>
    <t>Tasot</t>
  </si>
  <si>
    <t>Seuraavat tasot: vain kerroin muuttuu, pistehinnat pysyvät samoina.</t>
  </si>
  <si>
    <t>Ansaitsemiskerroin (pistettä / €)</t>
  </si>
  <si>
    <t>Värikoodit</t>
  </si>
  <si>
    <t>Sininen teksti, keltainen tausta</t>
  </si>
  <si>
    <t>Syöttösolu – muuta näitä.</t>
  </si>
  <si>
    <t>Musta teksti</t>
  </si>
  <si>
    <t>Kaava – älä muuta.</t>
  </si>
  <si>
    <t>Vihreä teksti</t>
  </si>
  <si>
    <t>Linkki toiselta välilehdeltä.</t>
  </si>
  <si>
    <t>Lähde</t>
  </si>
  <si>
    <t>Vilkas Suite tuki: Kanta-asiakasohjelma, https://www.vilkas.fi/tuki/suite/kanta-asiakasohjelma (luettu 20.10.2026). Esimerkkiluvut ovat oletuksia, ei päätettyjä arvoja.</t>
  </si>
  <si>
    <t>Montako pistettä asiakas saa jokaisesta käytetystä eurosta. Vilkkaassa: Bonuspistekerroin.</t>
  </si>
  <si>
    <t>Pisteitä per 1 €</t>
  </si>
  <si>
    <t>Pisteen arvo: tämä määrä pisteitä vastaa yhtä euroa (100 p = 1 €).</t>
  </si>
  <si>
    <t>Rekisteröitymisbonus</t>
  </si>
  <si>
    <t>Pisteet, jotka asiakas saa heti rekisteröityessään.</t>
  </si>
  <si>
    <t>Johdettu arvo</t>
  </si>
  <si>
    <t>Kaava / selite</t>
  </si>
  <si>
    <t>Yhden pisteen arvo</t>
  </si>
  <si>
    <t>Taso</t>
  </si>
  <si>
    <t>Kerroin (p/€)</t>
  </si>
  <si>
    <t>Etu (%)</t>
  </si>
  <si>
    <t>Keskiostos 75 € kerryttää</t>
  </si>
  <si>
    <t>Esimerkkituote saavutetaan ostoilla (€)</t>
  </si>
  <si>
    <t>Taso 1</t>
  </si>
  <si>
    <t>1 € ÷ pisteitä per euro</t>
  </si>
  <si>
    <t>Asiakkaan etu (palautus-%)</t>
  </si>
  <si>
    <t>Kerroin × pisteen arvo. Kertoo, montako prosenttia ostoista palautuu.</t>
  </si>
  <si>
    <t>Tuotteen pistehinnan kerroin</t>
  </si>
  <si>
    <t>Pistehinta = euromääräinen hinta × tämä luku (CSV: OVH × 100).</t>
  </si>
  <si>
    <t>2. Ansaitseminen: paljonko ostoksesta kertyy pisteitä</t>
  </si>
  <si>
    <t>Ostos (€)</t>
  </si>
  <si>
    <t>Pisteiden arvo (€)</t>
  </si>
  <si>
    <t>Laskutoimitus</t>
  </si>
  <si>
    <t>Taso 2</t>
  </si>
  <si>
    <t>Taso 3</t>
  </si>
  <si>
    <t>Taso 1 haetaan Malli-välilehdeltä (vihreä = linkki toiselle välilehdelle). Tasojen 2–3 kertoimia voi muuttaa.</t>
  </si>
  <si>
    <t>Yleiskaava: etu-% = kerroin ÷ pisteitä per euro.  Tarvittavat ostot = pistehinta ÷ kerroin.</t>
  </si>
  <si>
    <t>← keskiostos</t>
  </si>
  <si>
    <t>3. Tuotteiden pistehinnat: paljonko tuote maksaa pelkillä pisteillä</t>
  </si>
  <si>
    <t>Tuote</t>
  </si>
  <si>
    <t>Hinta (€)</t>
  </si>
  <si>
    <t>Ostoja tarvitaan pisteiden keräämiseen (€)</t>
  </si>
  <si>
    <t>Uimalakki</t>
  </si>
  <si>
    <t>Uimalasit</t>
  </si>
  <si>
    <t>Uimahousut</t>
  </si>
  <si>
    <t>Pistehinta = hinta × pisteitä per euro.  Tarvittavat ostot = pistehinta ÷ ansaitsemiskerroin.</t>
  </si>
  <si>
    <t>4. Esimerkkiasiakas vuoden aikana</t>
  </si>
  <si>
    <t>Vaihe</t>
  </si>
  <si>
    <t>Tapahtuma</t>
  </si>
  <si>
    <t>Maksettu (€)</t>
  </si>
  <si>
    <t>Pisteet (+/−)</t>
  </si>
  <si>
    <t>Saldo</t>
  </si>
  <si>
    <t>Rekisteröityy</t>
  </si>
  <si>
    <t>Ostaa uimalasit</t>
  </si>
  <si>
    <t>Ostaa varusteita</t>
  </si>
  <si>
    <t>Ostaa seuratakin</t>
  </si>
  <si>
    <t>Ostaa uimalakin pisteillä</t>
  </si>
  <si>
    <t>Maksettu yhteensä</t>
  </si>
  <si>
    <t>Pisteillä saatu etu (uimalakin hinta)</t>
  </si>
  <si>
    <t>Etu suhteessa ostoihin (sis. rekisteröitymisbonuksen)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</si>
</sst>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&quot; €&quot;;\-#,##0.00&quot; €&quot;;\-"/>
    <numFmt numFmtId="165" formatCode="0&quot; p/€&quot;"/>
    <numFmt numFmtId="166" formatCode="#,##0&quot; p&quot;"/>
    <numFmt numFmtId="167" formatCode="#,##0&quot; p&quot;;\-#,##0&quot; p&quot;;\-"/>
    <numFmt numFmtId="168" formatCode="0.0000&quot; €&quot;"/>
    <numFmt numFmtId="169" formatCode="0.0%"/>
    <numFmt numFmtId="170" formatCode="&quot;× &quot;0"/>
  </numFmts>
  <fonts count="15">
    <font>
      <sz val="11.0"/>
      <color theme="1"/>
      <name val="Calibri"/>
      <scheme val="minor"/>
    </font>
    <font>
      <b/>
      <sz val="14.0"/>
      <color theme="1"/>
      <name val="Arial"/>
    </font>
    <font>
      <i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b/>
      <sz val="11.0"/>
      <color rgb="FF008000"/>
      <name val="Arial"/>
    </font>
    <font>
      <sz val="11.0"/>
      <color rgb="FF008000"/>
      <name val="Arial"/>
    </font>
    <font>
      <b/>
      <sz val="12.0"/>
      <color rgb="FF000000"/>
      <name val="Arial"/>
    </font>
    <font>
      <color theme="1"/>
      <name val="Calibri"/>
      <scheme val="minor"/>
    </font>
    <font>
      <i/>
      <sz val="11.0"/>
      <color rgb="FF808080"/>
      <name val="Arial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2" fontId="3" numFmtId="0" xfId="0" applyAlignment="1" applyFill="1" applyFont="1">
      <alignment shrinkToFit="0" vertical="bottom" wrapText="0"/>
    </xf>
    <xf borderId="1" fillId="3" fontId="6" numFmtId="164" xfId="0" applyAlignment="1" applyBorder="1" applyFill="1" applyFont="1" applyNumberFormat="1">
      <alignment shrinkToFit="0" vertical="bottom" wrapText="0"/>
    </xf>
    <xf borderId="2" fillId="4" fontId="7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0"/>
    </xf>
    <xf borderId="2" fillId="0" fontId="4" numFmtId="0" xfId="0" applyAlignment="1" applyBorder="1" applyFont="1">
      <alignment shrinkToFit="0" vertical="top" wrapText="0"/>
    </xf>
    <xf borderId="1" fillId="3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2" fillId="3" fontId="6" numFmtId="165" xfId="0" applyAlignment="1" applyBorder="1" applyFill="1" applyFont="1" applyNumberFormat="1">
      <alignment readingOrder="0" shrinkToFit="0" vertical="top" wrapText="0"/>
    </xf>
    <xf borderId="2" fillId="0" fontId="4" numFmtId="0" xfId="0" applyAlignment="1" applyBorder="1" applyFont="1">
      <alignment shrinkToFit="0" vertical="top" wrapText="1"/>
    </xf>
    <xf borderId="2" fillId="3" fontId="6" numFmtId="166" xfId="0" applyAlignment="1" applyBorder="1" applyFill="1" applyFont="1" applyNumberFormat="1">
      <alignment shrinkToFit="0" vertical="top" wrapText="0"/>
    </xf>
    <xf borderId="2" fillId="0" fontId="4" numFmtId="0" xfId="0" applyAlignment="1" applyBorder="1" applyFont="1">
      <alignment shrinkToFit="0" vertical="bottom" wrapText="0"/>
    </xf>
    <xf borderId="2" fillId="3" fontId="6" numFmtId="167" xfId="0" applyAlignment="1" applyBorder="1" applyFill="1" applyFont="1" applyNumberFormat="1">
      <alignment shrinkToFit="0" vertical="bottom" wrapText="0"/>
    </xf>
    <xf borderId="0" fillId="0" fontId="10" numFmtId="167" xfId="0" applyAlignment="1" applyFont="1" applyNumberFormat="1">
      <alignment shrinkToFit="0" vertical="bottom" wrapText="0"/>
    </xf>
    <xf borderId="2" fillId="0" fontId="4" numFmtId="168" xfId="0" applyAlignment="1" applyBorder="1" applyFont="1" applyNumberFormat="1">
      <alignment shrinkToFit="0" vertical="bottom" wrapText="0"/>
    </xf>
    <xf borderId="2" fillId="0" fontId="10" numFmtId="165" xfId="0" applyAlignment="1" applyBorder="1" applyFont="1" applyNumberFormat="1">
      <alignment shrinkToFit="0" vertical="bottom" wrapText="0"/>
    </xf>
    <xf borderId="2" fillId="0" fontId="4" numFmtId="169" xfId="0" applyAlignment="1" applyBorder="1" applyFont="1" applyNumberFormat="1">
      <alignment shrinkToFit="0" vertical="top" wrapText="0"/>
    </xf>
    <xf borderId="2" fillId="0" fontId="4" numFmtId="169" xfId="0" applyAlignment="1" applyBorder="1" applyFont="1" applyNumberFormat="1">
      <alignment shrinkToFit="0" vertical="bottom" wrapText="0"/>
    </xf>
    <xf borderId="2" fillId="0" fontId="4" numFmtId="170" xfId="0" applyAlignment="1" applyBorder="1" applyFont="1" applyNumberFormat="1">
      <alignment shrinkToFit="0" vertical="bottom" wrapText="0"/>
    </xf>
    <xf borderId="0" fillId="2" fontId="11" numFmtId="0" xfId="0" applyAlignment="1" applyFill="1" applyFont="1">
      <alignment shrinkToFit="0" vertical="bottom" wrapText="0"/>
    </xf>
    <xf borderId="2" fillId="0" fontId="4" numFmtId="167" xfId="0" applyAlignment="1" applyBorder="1" applyFont="1" applyNumberFormat="1">
      <alignment shrinkToFit="0" vertical="bottom" wrapText="0"/>
    </xf>
    <xf borderId="0" fillId="2" fontId="12" numFmtId="0" xfId="0" applyFill="1" applyFont="1"/>
    <xf borderId="2" fillId="3" fontId="6" numFmtId="164" xfId="0" applyAlignment="1" applyBorder="1" applyFill="1" applyFont="1" applyNumberFormat="1">
      <alignment readingOrder="0"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3" fontId="6" numFmtId="165" xfId="0" applyAlignment="1" applyBorder="1" applyFill="1" applyFont="1" applyNumberFormat="1">
      <alignment shrinkToFit="0" vertical="bottom" wrapText="0"/>
    </xf>
    <xf borderId="2" fillId="3" fontId="6" numFmtId="164" xfId="0" applyAlignment="1" applyBorder="1" applyFill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2" fontId="14" numFmtId="0" xfId="0" applyFill="1" applyFont="1"/>
    <xf borderId="2" fillId="3" fontId="6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1" fillId="5" fontId="5" numFmtId="164" xfId="0" applyAlignment="1" applyBorder="1" applyFill="1" applyFont="1" applyNumberFormat="1">
      <alignment shrinkToFit="0" vertical="bottom" wrapText="0"/>
    </xf>
    <xf borderId="1" fillId="5" fontId="5" numFmtId="169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5.0"/>
    <col customWidth="1" min="3" max="26" width="8.71"/>
  </cols>
  <sheetData>
    <row r="1">
      <c r="A1" s="1" t="s">
        <v>1</v>
      </c>
    </row>
    <row r="3">
      <c r="A3" s="3" t="s">
        <v>4</v>
      </c>
    </row>
    <row r="4">
      <c r="A4" s="5" t="s">
        <v>7</v>
      </c>
      <c r="B4" s="6" t="s">
        <v>9</v>
      </c>
    </row>
    <row r="5">
      <c r="A5" s="5" t="s">
        <v>10</v>
      </c>
      <c r="B5" s="6" t="s">
        <v>11</v>
      </c>
    </row>
    <row r="6">
      <c r="A6" s="5" t="s">
        <v>12</v>
      </c>
      <c r="B6" s="6" t="s">
        <v>13</v>
      </c>
    </row>
    <row r="7">
      <c r="A7" s="3"/>
    </row>
    <row r="8">
      <c r="A8" s="3" t="s">
        <v>14</v>
      </c>
    </row>
    <row r="9">
      <c r="A9" s="5" t="s">
        <v>15</v>
      </c>
      <c r="B9" s="6" t="s">
        <v>16</v>
      </c>
    </row>
    <row r="10">
      <c r="A10" s="10" t="s">
        <v>18</v>
      </c>
      <c r="B10" s="6" t="s">
        <v>20</v>
      </c>
    </row>
    <row r="11">
      <c r="A11" s="5" t="s">
        <v>22</v>
      </c>
      <c r="B11" s="6" t="s">
        <v>23</v>
      </c>
    </row>
    <row r="12">
      <c r="A12" s="3"/>
    </row>
    <row r="13">
      <c r="A13" s="3" t="s">
        <v>25</v>
      </c>
    </row>
    <row r="14">
      <c r="A14" s="5" t="s">
        <v>26</v>
      </c>
      <c r="B14" s="6" t="s">
        <v>27</v>
      </c>
    </row>
    <row r="15">
      <c r="A15" s="5" t="s">
        <v>28</v>
      </c>
      <c r="B15" s="6" t="s">
        <v>29</v>
      </c>
    </row>
    <row r="16">
      <c r="A16" s="3"/>
    </row>
    <row r="17">
      <c r="A17" s="3" t="s">
        <v>31</v>
      </c>
    </row>
    <row r="18">
      <c r="A18" s="12" t="s">
        <v>32</v>
      </c>
      <c r="B18" s="6" t="s">
        <v>33</v>
      </c>
    </row>
    <row r="19">
      <c r="A19" s="5" t="s">
        <v>34</v>
      </c>
      <c r="B19" s="6" t="s">
        <v>35</v>
      </c>
    </row>
    <row r="20">
      <c r="A20" s="13" t="s">
        <v>36</v>
      </c>
      <c r="B20" s="6" t="s">
        <v>37</v>
      </c>
    </row>
    <row r="21" ht="15.75" customHeight="1">
      <c r="A21" s="3"/>
    </row>
    <row r="22" ht="15.75" customHeight="1">
      <c r="A22" s="10" t="s">
        <v>38</v>
      </c>
      <c r="B22" s="6" t="s">
        <v>39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0"/>
    <col customWidth="1" min="2" max="2" width="26.0"/>
    <col customWidth="1" min="3" max="3" width="62.0"/>
    <col customWidth="1" min="4" max="4" width="26.0"/>
    <col customWidth="1" min="5" max="5" width="16.0"/>
    <col customWidth="1" min="6" max="26" width="8.71"/>
  </cols>
  <sheetData>
    <row r="1">
      <c r="A1" s="1" t="s">
        <v>2</v>
      </c>
    </row>
    <row r="2">
      <c r="A2" s="2" t="s">
        <v>5</v>
      </c>
    </row>
    <row r="4">
      <c r="A4" s="7" t="s">
        <v>8</v>
      </c>
    </row>
    <row r="5">
      <c r="A5" s="9" t="s">
        <v>17</v>
      </c>
      <c r="B5" s="9" t="s">
        <v>21</v>
      </c>
      <c r="C5" s="9" t="s">
        <v>24</v>
      </c>
    </row>
    <row r="6">
      <c r="A6" s="11" t="s">
        <v>30</v>
      </c>
      <c r="B6" s="14">
        <v>3.0</v>
      </c>
      <c r="C6" s="15" t="s">
        <v>40</v>
      </c>
    </row>
    <row r="7">
      <c r="A7" s="11" t="s">
        <v>41</v>
      </c>
      <c r="B7" s="16">
        <v>100.0</v>
      </c>
      <c r="C7" s="15" t="s">
        <v>42</v>
      </c>
    </row>
    <row r="8">
      <c r="A8" s="17" t="s">
        <v>43</v>
      </c>
      <c r="B8" s="18">
        <v>500.0</v>
      </c>
      <c r="C8" s="15" t="s">
        <v>44</v>
      </c>
    </row>
    <row r="10">
      <c r="A10" s="9" t="s">
        <v>45</v>
      </c>
      <c r="B10" s="9" t="s">
        <v>21</v>
      </c>
      <c r="C10" s="9" t="s">
        <v>46</v>
      </c>
    </row>
    <row r="11">
      <c r="A11" s="17" t="s">
        <v>47</v>
      </c>
      <c r="B11" s="20">
        <f>1/B7</f>
        <v>0.01</v>
      </c>
      <c r="C11" s="15" t="s">
        <v>54</v>
      </c>
    </row>
    <row r="12">
      <c r="A12" s="11" t="s">
        <v>55</v>
      </c>
      <c r="B12" s="22">
        <f>B6*B11</f>
        <v>0.03</v>
      </c>
      <c r="C12" s="15" t="s">
        <v>56</v>
      </c>
    </row>
    <row r="13">
      <c r="A13" s="17" t="s">
        <v>57</v>
      </c>
      <c r="B13" s="24">
        <f>B7</f>
        <v>100</v>
      </c>
      <c r="C13" s="15" t="s">
        <v>58</v>
      </c>
    </row>
    <row r="15">
      <c r="A15" s="25" t="s">
        <v>59</v>
      </c>
      <c r="B15" s="27"/>
    </row>
    <row r="16">
      <c r="A16" s="9" t="s">
        <v>60</v>
      </c>
      <c r="B16" s="9" t="s">
        <v>15</v>
      </c>
      <c r="C16" s="9" t="s">
        <v>61</v>
      </c>
      <c r="D16" s="9" t="s">
        <v>62</v>
      </c>
    </row>
    <row r="17">
      <c r="A17" s="28">
        <v>30.0</v>
      </c>
      <c r="B17" s="26">
        <f t="shared" ref="B17:B20" si="1">ROUND(A17*$B$6,0)</f>
        <v>90</v>
      </c>
      <c r="C17" s="29">
        <f t="shared" ref="C17:C20" si="2">B17*$B$11</f>
        <v>0.9</v>
      </c>
      <c r="D17" s="17" t="str">
        <f t="shared" ref="D17:D20" si="3">TEXT(A17,"0")&amp;" € × "&amp;$B$6&amp;" p/€"</f>
        <v>30 € × 3 p/€</v>
      </c>
    </row>
    <row r="18">
      <c r="A18" s="31">
        <v>75.0</v>
      </c>
      <c r="B18" s="26">
        <f t="shared" si="1"/>
        <v>225</v>
      </c>
      <c r="C18" s="29">
        <f t="shared" si="2"/>
        <v>2.25</v>
      </c>
      <c r="D18" s="17" t="str">
        <f t="shared" si="3"/>
        <v>75 € × 3 p/€</v>
      </c>
      <c r="E18" s="32" t="s">
        <v>67</v>
      </c>
    </row>
    <row r="19">
      <c r="A19" s="31">
        <v>100.0</v>
      </c>
      <c r="B19" s="26">
        <f t="shared" si="1"/>
        <v>300</v>
      </c>
      <c r="C19" s="29">
        <f t="shared" si="2"/>
        <v>3</v>
      </c>
      <c r="D19" s="17" t="str">
        <f t="shared" si="3"/>
        <v>100 € × 3 p/€</v>
      </c>
    </row>
    <row r="20">
      <c r="A20" s="31">
        <v>300.0</v>
      </c>
      <c r="B20" s="26">
        <f t="shared" si="1"/>
        <v>900</v>
      </c>
      <c r="C20" s="29">
        <f t="shared" si="2"/>
        <v>9</v>
      </c>
      <c r="D20" s="17" t="str">
        <f t="shared" si="3"/>
        <v>300 € × 3 p/€</v>
      </c>
    </row>
    <row r="21" ht="15.75" customHeight="1"/>
    <row r="22" ht="15.75" customHeight="1">
      <c r="A22" s="25" t="s">
        <v>68</v>
      </c>
      <c r="B22" s="33"/>
    </row>
    <row r="23" ht="15.75" customHeight="1">
      <c r="A23" s="9" t="s">
        <v>69</v>
      </c>
      <c r="B23" s="9" t="s">
        <v>70</v>
      </c>
      <c r="C23" s="9" t="s">
        <v>18</v>
      </c>
      <c r="D23" s="9" t="s">
        <v>71</v>
      </c>
    </row>
    <row r="24" ht="15.75" customHeight="1">
      <c r="A24" s="34" t="s">
        <v>72</v>
      </c>
      <c r="B24" s="31">
        <v>10.0</v>
      </c>
      <c r="C24" s="26">
        <f t="shared" ref="C24:C26" si="4">ROUND(B24*$B$7,0)</f>
        <v>1000</v>
      </c>
      <c r="D24" s="29">
        <f t="shared" ref="D24:D26" si="5">C24/$B$6</f>
        <v>333.3333333</v>
      </c>
    </row>
    <row r="25" ht="15.75" customHeight="1">
      <c r="A25" s="34" t="s">
        <v>73</v>
      </c>
      <c r="B25" s="31">
        <v>20.0</v>
      </c>
      <c r="C25" s="26">
        <f t="shared" si="4"/>
        <v>2000</v>
      </c>
      <c r="D25" s="29">
        <f t="shared" si="5"/>
        <v>666.6666667</v>
      </c>
    </row>
    <row r="26" ht="15.75" customHeight="1">
      <c r="A26" s="34" t="s">
        <v>74</v>
      </c>
      <c r="B26" s="31">
        <v>50.0</v>
      </c>
      <c r="C26" s="26">
        <f t="shared" si="4"/>
        <v>5000</v>
      </c>
      <c r="D26" s="29">
        <f t="shared" si="5"/>
        <v>1666.666667</v>
      </c>
    </row>
    <row r="27" ht="15.75" customHeight="1">
      <c r="A27" s="32" t="s">
        <v>75</v>
      </c>
    </row>
    <row r="28" ht="15.75" customHeight="1"/>
    <row r="29" ht="15.75" customHeight="1">
      <c r="A29" s="3" t="s">
        <v>76</v>
      </c>
    </row>
    <row r="30" ht="15.75" customHeight="1">
      <c r="A30" s="9" t="s">
        <v>77</v>
      </c>
      <c r="B30" s="9" t="s">
        <v>78</v>
      </c>
      <c r="C30" s="9" t="s">
        <v>79</v>
      </c>
      <c r="D30" s="9" t="s">
        <v>80</v>
      </c>
      <c r="E30" s="9" t="s">
        <v>81</v>
      </c>
    </row>
    <row r="31" ht="15.75" customHeight="1">
      <c r="A31" s="17">
        <v>1.0</v>
      </c>
      <c r="B31" s="17" t="s">
        <v>82</v>
      </c>
      <c r="C31" s="29">
        <v>0.0</v>
      </c>
      <c r="D31" s="26">
        <f>$B$8</f>
        <v>500</v>
      </c>
      <c r="E31" s="26">
        <f>D31</f>
        <v>500</v>
      </c>
    </row>
    <row r="32" ht="15.75" customHeight="1">
      <c r="A32" s="17">
        <v>2.0</v>
      </c>
      <c r="B32" s="17" t="s">
        <v>83</v>
      </c>
      <c r="C32" s="31">
        <v>20.0</v>
      </c>
      <c r="D32" s="26">
        <f t="shared" ref="D32:D34" si="6">ROUND(C32*$B$6,0)</f>
        <v>60</v>
      </c>
      <c r="E32" s="26">
        <f t="shared" ref="E32:E35" si="7">E31+D32</f>
        <v>560</v>
      </c>
    </row>
    <row r="33" ht="15.75" customHeight="1">
      <c r="A33" s="17">
        <v>3.0</v>
      </c>
      <c r="B33" s="17" t="s">
        <v>84</v>
      </c>
      <c r="C33" s="31">
        <v>75.0</v>
      </c>
      <c r="D33" s="26">
        <f t="shared" si="6"/>
        <v>225</v>
      </c>
      <c r="E33" s="26">
        <f t="shared" si="7"/>
        <v>785</v>
      </c>
    </row>
    <row r="34" ht="15.75" customHeight="1">
      <c r="A34" s="17">
        <v>4.0</v>
      </c>
      <c r="B34" s="17" t="s">
        <v>85</v>
      </c>
      <c r="C34" s="31">
        <v>230.0</v>
      </c>
      <c r="D34" s="26">
        <f t="shared" si="6"/>
        <v>690</v>
      </c>
      <c r="E34" s="26">
        <f t="shared" si="7"/>
        <v>1475</v>
      </c>
    </row>
    <row r="35" ht="15.75" customHeight="1">
      <c r="A35" s="17">
        <v>5.0</v>
      </c>
      <c r="B35" s="17" t="s">
        <v>86</v>
      </c>
      <c r="C35" s="29">
        <v>0.0</v>
      </c>
      <c r="D35" s="26">
        <f>-C24</f>
        <v>-1000</v>
      </c>
      <c r="E35" s="26">
        <f t="shared" si="7"/>
        <v>475</v>
      </c>
    </row>
    <row r="36" ht="15.75" customHeight="1"/>
    <row r="37" ht="15.75" customHeight="1">
      <c r="A37" s="35" t="s">
        <v>87</v>
      </c>
      <c r="B37" s="36">
        <f>SUM(C31:C35)</f>
        <v>325</v>
      </c>
    </row>
    <row r="38" ht="15.75" customHeight="1">
      <c r="A38" s="35" t="s">
        <v>88</v>
      </c>
      <c r="B38" s="36">
        <f>B24</f>
        <v>10</v>
      </c>
    </row>
    <row r="39" ht="15.75" customHeight="1">
      <c r="A39" s="35" t="s">
        <v>89</v>
      </c>
      <c r="B39" s="37">
        <f>IF(B37=0,0,B38/B37)</f>
        <v>0.03076923077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12.0"/>
    <col customWidth="1" min="4" max="4" width="26.0"/>
    <col customWidth="1" min="5" max="5" width="38.0"/>
    <col customWidth="1" min="6" max="26" width="8.71"/>
  </cols>
  <sheetData>
    <row r="1">
      <c r="A1" s="1" t="s">
        <v>0</v>
      </c>
    </row>
    <row r="2">
      <c r="A2" s="2" t="s">
        <v>3</v>
      </c>
    </row>
    <row r="4">
      <c r="A4" s="4" t="s">
        <v>6</v>
      </c>
      <c r="B4" s="8">
        <v>50.0</v>
      </c>
    </row>
    <row r="5">
      <c r="A5" s="4" t="s">
        <v>19</v>
      </c>
      <c r="B5" s="19">
        <f>ROUND(B4*Malli!$B$7,0)</f>
        <v>5000</v>
      </c>
    </row>
    <row r="7">
      <c r="A7" s="9" t="s">
        <v>48</v>
      </c>
      <c r="B7" s="9" t="s">
        <v>49</v>
      </c>
      <c r="C7" s="9" t="s">
        <v>50</v>
      </c>
      <c r="D7" s="9" t="s">
        <v>51</v>
      </c>
      <c r="E7" s="9" t="s">
        <v>52</v>
      </c>
    </row>
    <row r="8">
      <c r="A8" s="17" t="s">
        <v>53</v>
      </c>
      <c r="B8" s="21">
        <f>Malli!B6</f>
        <v>3</v>
      </c>
      <c r="C8" s="23">
        <f>B8/Malli!$B$7</f>
        <v>0.03</v>
      </c>
      <c r="D8" s="26">
        <f t="shared" ref="D8:D10" si="1">ROUND(75*B8,0)</f>
        <v>225</v>
      </c>
      <c r="E8" s="29">
        <f t="shared" ref="E8:E10" si="2">IF(B8=0,0,$B$5/B8)</f>
        <v>1666.666667</v>
      </c>
    </row>
    <row r="9">
      <c r="A9" s="17" t="s">
        <v>63</v>
      </c>
      <c r="B9" s="30">
        <v>4.0</v>
      </c>
      <c r="C9" s="23">
        <f>B9/Malli!$B$7</f>
        <v>0.04</v>
      </c>
      <c r="D9" s="26">
        <f t="shared" si="1"/>
        <v>300</v>
      </c>
      <c r="E9" s="29">
        <f t="shared" si="2"/>
        <v>1250</v>
      </c>
    </row>
    <row r="10">
      <c r="A10" s="17" t="s">
        <v>64</v>
      </c>
      <c r="B10" s="30">
        <v>5.0</v>
      </c>
      <c r="C10" s="23">
        <f>B10/Malli!$B$7</f>
        <v>0.05</v>
      </c>
      <c r="D10" s="26">
        <f t="shared" si="1"/>
        <v>375</v>
      </c>
      <c r="E10" s="29">
        <f t="shared" si="2"/>
        <v>1000</v>
      </c>
    </row>
    <row r="12">
      <c r="A12" s="32" t="s">
        <v>65</v>
      </c>
    </row>
    <row r="13">
      <c r="A13" s="32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